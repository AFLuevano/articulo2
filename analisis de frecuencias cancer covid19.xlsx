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ea964e894d6af1/Documentos/articulo1/articulo2/"/>
    </mc:Choice>
  </mc:AlternateContent>
  <xr:revisionPtr revIDLastSave="1" documentId="8_{456509DE-F1FC-4F7E-944D-F053F0CC3C9B}" xr6:coauthVersionLast="47" xr6:coauthVersionMax="47" xr10:uidLastSave="{D669EB24-3B49-4ED1-817F-4757F48E2EEF}"/>
  <bookViews>
    <workbookView xWindow="-120" yWindow="-120" windowWidth="20730" windowHeight="11160" xr2:uid="{9857A628-C0B8-42B8-A99E-8ACC1A5514AF}"/>
  </bookViews>
  <sheets>
    <sheet name="Pantemico-Prepandemico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F29" i="1"/>
  <c r="E29" i="1"/>
  <c r="G28" i="1"/>
  <c r="G27" i="1"/>
  <c r="Q14" i="2"/>
  <c r="P14" i="2"/>
  <c r="R13" i="2"/>
  <c r="R12" i="2"/>
  <c r="K14" i="2"/>
  <c r="J14" i="2"/>
  <c r="L13" i="2"/>
  <c r="L12" i="2"/>
  <c r="I36" i="1"/>
  <c r="F23" i="1"/>
  <c r="E23" i="1"/>
  <c r="G22" i="1"/>
  <c r="G21" i="1"/>
  <c r="F17" i="1"/>
  <c r="E17" i="1"/>
  <c r="G16" i="1"/>
  <c r="G15" i="1"/>
  <c r="F12" i="1"/>
  <c r="E12" i="1"/>
  <c r="G11" i="1"/>
  <c r="G10" i="1"/>
  <c r="M4" i="1"/>
  <c r="M5" i="1"/>
  <c r="E6" i="1"/>
  <c r="F6" i="1"/>
  <c r="G6" i="1"/>
  <c r="H6" i="1"/>
  <c r="I6" i="1"/>
  <c r="J6" i="1"/>
  <c r="K6" i="1"/>
  <c r="L6" i="1"/>
  <c r="M6" i="1" l="1"/>
  <c r="G23" i="1"/>
</calcChain>
</file>

<file path=xl/sharedStrings.xml><?xml version="1.0" encoding="utf-8"?>
<sst xmlns="http://schemas.openxmlformats.org/spreadsheetml/2006/main" count="163" uniqueCount="78">
  <si>
    <t>ARLD</t>
  </si>
  <si>
    <t>HBV</t>
  </si>
  <si>
    <t>HCV</t>
  </si>
  <si>
    <t>HH</t>
  </si>
  <si>
    <t>NAFLD</t>
  </si>
  <si>
    <t>Other</t>
  </si>
  <si>
    <t>PBC/AIH</t>
  </si>
  <si>
    <t>Pandemic</t>
  </si>
  <si>
    <t>Prepandemic</t>
  </si>
  <si>
    <t>No established CLD</t>
  </si>
  <si>
    <t>N</t>
  </si>
  <si>
    <t>Y</t>
  </si>
  <si>
    <t>Cirrosis</t>
  </si>
  <si>
    <t>Análisis Pandémico/Prepandémico</t>
  </si>
  <si>
    <t>Alive</t>
  </si>
  <si>
    <t>Dead</t>
  </si>
  <si>
    <t>cancer</t>
  </si>
  <si>
    <t>hubo 101 muertes debido a otra cosa</t>
  </si>
  <si>
    <t xml:space="preserve"> </t>
  </si>
  <si>
    <t xml:space="preserve"> Year</t>
  </si>
  <si>
    <t xml:space="preserve"> Month</t>
  </si>
  <si>
    <t xml:space="preserve"> Bleed</t>
  </si>
  <si>
    <t xml:space="preserve"> Mode Presentation</t>
  </si>
  <si>
    <t xml:space="preserve"> Age</t>
  </si>
  <si>
    <t xml:space="preserve"> Gender</t>
  </si>
  <si>
    <t xml:space="preserve"> Etiology</t>
  </si>
  <si>
    <t xml:space="preserve"> Cirrhosis</t>
  </si>
  <si>
    <t xml:space="preserve"> Size</t>
  </si>
  <si>
    <t xml:space="preserve"> HCC TNM Stage</t>
  </si>
  <si>
    <t xml:space="preserve"> HCC BCLC Stage</t>
  </si>
  <si>
    <t xml:space="preserve"> Treatment grps</t>
  </si>
  <si>
    <t xml:space="preserve"> Survival from MDM</t>
  </si>
  <si>
    <t xml:space="preserve"> Alive Dead</t>
  </si>
  <si>
    <t xml:space="preserve"> Surveillance programme</t>
  </si>
  <si>
    <t xml:space="preserve"> PS</t>
  </si>
  <si>
    <t xml:space="preserve"> Prev known cirrhosis</t>
  </si>
  <si>
    <t>Prepandemic/Pandemic</t>
  </si>
  <si>
    <t>[Y/N]</t>
  </si>
  <si>
    <t>Spontaneous tumour haemorrhage [Y/N]</t>
  </si>
  <si>
    <t>Male or Female [M/F]</t>
  </si>
  <si>
    <t>Manner of causation of a disease or condition</t>
  </si>
  <si>
    <t>Hepatocellular carcinoma Barcelona Clinic for Liver Cancer Stage</t>
  </si>
  <si>
    <t>Survival from Multidisciplinary meeting</t>
  </si>
  <si>
    <t>[Y, "N"]</t>
  </si>
  <si>
    <t>First-line treatment received</t>
  </si>
  <si>
    <t>Performance status [0, 1, 2, 3, 4]</t>
  </si>
  <si>
    <t>Cancer</t>
  </si>
  <si>
    <t>Surveillance, Incidental, or Symptomatic</t>
  </si>
  <si>
    <t>Month of the year 1-12</t>
  </si>
  <si>
    <t>Age of the patitent</t>
  </si>
  <si>
    <t>Tumour diameter in mm</t>
  </si>
  <si>
    <t xml:space="preserve">Hepatocellular carcinoma Tumour node metastasis Stage </t>
  </si>
  <si>
    <t>"Alive", "Dead"</t>
  </si>
  <si>
    <t>Patient in a formal surveillance programme ("Y", "N")</t>
  </si>
  <si>
    <t>Característica</t>
  </si>
  <si>
    <t>Descripción</t>
  </si>
  <si>
    <t>Yes-No [Y/N]</t>
  </si>
  <si>
    <t>Yes-No [Y, "N"]</t>
  </si>
  <si>
    <t>Min</t>
  </si>
  <si>
    <t>1er Cuartil</t>
  </si>
  <si>
    <t>Mediana</t>
  </si>
  <si>
    <t>Media</t>
  </si>
  <si>
    <t>3er cuartil</t>
  </si>
  <si>
    <t>Max</t>
  </si>
  <si>
    <t>Moda</t>
  </si>
  <si>
    <t>10.50, 29.77</t>
  </si>
  <si>
    <t>Variable</t>
  </si>
  <si>
    <t>Varianza</t>
  </si>
  <si>
    <t>Desviación estándar</t>
  </si>
  <si>
    <t>Coeficiente de variación</t>
  </si>
  <si>
    <t>Total</t>
  </si>
  <si>
    <t xml:space="preserve">  Alive  </t>
  </si>
  <si>
    <t xml:space="preserve">  Dead  </t>
  </si>
  <si>
    <t>Alive_Dead</t>
  </si>
  <si>
    <t xml:space="preserve"> Survival_fromMDM</t>
  </si>
  <si>
    <t xml:space="preserve"> Treatment_grps</t>
  </si>
  <si>
    <t xml:space="preserve"> HCC_TNM_Stage y Gender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</si>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</sst>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9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3813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3" borderId="0" xfId="0" applyFont="1" applyFill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textRotation="90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53813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AF749-3470-4487-95EA-7B010EE1CA42}" name="Tabla1" displayName="Tabla1" ref="P4:Q20" headerRowCount="0" totalsRowShown="0">
  <tableColumns count="2">
    <tableColumn id="1" xr3:uid="{1474E821-7495-4135-992F-0488D0260DAA}" name=" Cancer"/>
    <tableColumn id="2" xr3:uid="{D9CABC17-4DE0-4DD7-AEC6-47D7DE29F13B}" name="Y/N]" dataDxfId="2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14F04A-2F39-4958-A4C5-71463BC2AA5A}" name="Tabla5" displayName="Tabla5" ref="S4:T22" headerRowCount="0" totalsRowShown="0" headerRowDxfId="26" dataDxfId="25">
  <tableColumns count="2">
    <tableColumn id="1" xr3:uid="{41387FFD-7507-4B48-B5AC-601E8BF17ADC}" name="Característica" headerRowDxfId="11" dataDxfId="24"/>
    <tableColumn id="2" xr3:uid="{3AD7118F-4B20-42FE-8CC6-1D6F4FBAA531}" name="Descripción" headerRowDxfId="12" dataDxfId="2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95044A-8D9C-423B-9455-DF8D7CBD7E5F}" name="Tabla6" displayName="Tabla6" ref="V22:AC27" totalsRowShown="0" headerRowDxfId="14" dataDxfId="13">
  <autoFilter ref="V22:AC27" xr:uid="{9495044A-8D9C-423B-9455-DF8D7CBD7E5F}"/>
  <tableColumns count="8">
    <tableColumn id="1" xr3:uid="{36EEDE5D-DC73-43E2-863E-0245AE92ADAC}" name="Característica" dataDxfId="22"/>
    <tableColumn id="2" xr3:uid="{567E9734-31D1-4128-B177-199C47E013B6}" name="Min" dataDxfId="21"/>
    <tableColumn id="3" xr3:uid="{D393BCA0-8923-4422-A41B-660AA9F3126C}" name="1er Cuartil" dataDxfId="20"/>
    <tableColumn id="4" xr3:uid="{76ABBFB9-EC01-49B0-9723-584AB9D426A2}" name="Mediana" dataDxfId="19"/>
    <tableColumn id="5" xr3:uid="{CCB3D4AF-5D8D-4C6D-84E2-675E42F4AAD9}" name="Media" dataDxfId="18"/>
    <tableColumn id="6" xr3:uid="{35E19D2C-152E-4925-BC62-A3D94CE2661D}" name="3er cuartil" dataDxfId="17"/>
    <tableColumn id="7" xr3:uid="{3294AB61-83BC-4020-BF48-CD697C64C57A}" name="Max" dataDxfId="16"/>
    <tableColumn id="8" xr3:uid="{F0A8E7A7-5F7D-45A4-98A3-75EBE4CB5389}" name="Moda" dataDxfId="15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B16BD1-11CD-4CA5-ACC7-691493A28110}" name="Tabla7" displayName="Tabla7" ref="B3:E8" totalsRowShown="0" headerRowDxfId="4" dataDxfId="3" headerRowBorderDxfId="9" tableBorderDxfId="10">
  <autoFilter ref="B3:E8" xr:uid="{C5B16BD1-11CD-4CA5-ACC7-691493A28110}"/>
  <tableColumns count="4">
    <tableColumn id="1" xr3:uid="{6714C81A-B1A9-40C6-B0B3-77E48AEE8039}" name="Variable" dataDxfId="8"/>
    <tableColumn id="2" xr3:uid="{12370FE4-6D0B-4C87-B3B6-B62670928D7F}" name="Varianza" dataDxfId="7"/>
    <tableColumn id="3" xr3:uid="{00E530E6-113F-405A-8B19-CE01F67B6A8E}" name="Desviación estándar" dataDxfId="6"/>
    <tableColumn id="4" xr3:uid="{801949BE-7872-4E7B-97EE-D8D73B6BE39B}" name="Coeficiente de variación" dataDxfId="5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4FEB4E4-3DF1-4583-8A3D-89117C928C3E}" name="Tabla10" displayName="Tabla10" ref="U13:U21" totalsRowShown="0" headerRowDxfId="1" dataDxfId="0">
  <autoFilter ref="U13:U21" xr:uid="{34FEB4E4-3DF1-4583-8A3D-89117C928C3E}"/>
  <tableColumns count="1">
    <tableColumn id="1" xr3:uid="{77DFE763-9480-4EF1-8AE2-F8E6CCBA5AF1}" name="Variables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3AED-9A89-4090-A933-BB611AFCC441}">
  <dimension ref="D1:AC39"/>
  <sheetViews>
    <sheetView tabSelected="1" topLeftCell="A5" workbookViewId="0">
      <selection activeCell="J22" sqref="J22"/>
    </sheetView>
  </sheetViews>
  <sheetFormatPr baseColWidth="10" defaultRowHeight="15" x14ac:dyDescent="0.25"/>
  <cols>
    <col min="3" max="3" width="4.140625" customWidth="1"/>
    <col min="4" max="4" width="12.7109375" bestFit="1" customWidth="1"/>
    <col min="5" max="6" width="5.5703125" bestFit="1" customWidth="1"/>
    <col min="7" max="7" width="4.7109375" bestFit="1" customWidth="1"/>
    <col min="8" max="8" width="3.5703125" bestFit="1" customWidth="1"/>
    <col min="9" max="9" width="6.85546875" bestFit="1" customWidth="1"/>
    <col min="10" max="10" width="18.140625" bestFit="1" customWidth="1"/>
    <col min="11" max="11" width="6.140625" bestFit="1" customWidth="1"/>
    <col min="12" max="12" width="8.42578125" bestFit="1" customWidth="1"/>
    <col min="15" max="15" width="17.7109375" customWidth="1"/>
    <col min="16" max="16" width="23.28515625" bestFit="1" customWidth="1"/>
    <col min="17" max="17" width="33.7109375" customWidth="1"/>
    <col min="19" max="19" width="23.28515625" bestFit="1" customWidth="1"/>
    <col min="20" max="20" width="35.28515625" customWidth="1"/>
    <col min="22" max="22" width="18.42578125" bestFit="1" customWidth="1"/>
    <col min="23" max="23" width="6.85546875" bestFit="1" customWidth="1"/>
    <col min="24" max="24" width="12.42578125" bestFit="1" customWidth="1"/>
    <col min="25" max="25" width="11.140625" bestFit="1" customWidth="1"/>
    <col min="26" max="26" width="9" bestFit="1" customWidth="1"/>
    <col min="27" max="27" width="12.140625" bestFit="1" customWidth="1"/>
    <col min="28" max="28" width="7.140625" bestFit="1" customWidth="1"/>
  </cols>
  <sheetData>
    <row r="1" spans="4:20" x14ac:dyDescent="0.25">
      <c r="H1" s="2" t="s">
        <v>13</v>
      </c>
      <c r="I1" s="2"/>
      <c r="J1" s="2"/>
      <c r="K1" s="2"/>
      <c r="L1" s="2"/>
    </row>
    <row r="3" spans="4:20" x14ac:dyDescent="0.25">
      <c r="E3" t="s">
        <v>0</v>
      </c>
      <c r="F3" t="s">
        <v>1</v>
      </c>
      <c r="G3" t="s">
        <v>2</v>
      </c>
      <c r="H3" t="s">
        <v>3</v>
      </c>
      <c r="I3" t="s">
        <v>4</v>
      </c>
      <c r="J3" t="s">
        <v>9</v>
      </c>
      <c r="K3" t="s">
        <v>5</v>
      </c>
      <c r="L3" t="s">
        <v>6</v>
      </c>
      <c r="P3" t="s">
        <v>46</v>
      </c>
      <c r="Q3" t="s">
        <v>37</v>
      </c>
    </row>
    <row r="4" spans="4:20" ht="15.75" x14ac:dyDescent="0.25">
      <c r="D4" t="s">
        <v>7</v>
      </c>
      <c r="E4">
        <v>31</v>
      </c>
      <c r="F4">
        <v>2</v>
      </c>
      <c r="G4">
        <v>4</v>
      </c>
      <c r="H4">
        <v>9</v>
      </c>
      <c r="I4">
        <v>51</v>
      </c>
      <c r="J4">
        <v>16</v>
      </c>
      <c r="K4">
        <v>2</v>
      </c>
      <c r="L4">
        <v>3</v>
      </c>
      <c r="M4">
        <f t="shared" ref="M4:M5" si="0">SUM(E4:L4)</f>
        <v>118</v>
      </c>
      <c r="P4" t="s">
        <v>19</v>
      </c>
      <c r="Q4" s="3" t="s">
        <v>36</v>
      </c>
      <c r="S4" s="7" t="s">
        <v>66</v>
      </c>
      <c r="T4" s="7" t="s">
        <v>55</v>
      </c>
    </row>
    <row r="5" spans="4:20" x14ac:dyDescent="0.25">
      <c r="D5" t="s">
        <v>8</v>
      </c>
      <c r="E5">
        <v>57</v>
      </c>
      <c r="F5">
        <v>3</v>
      </c>
      <c r="G5">
        <v>17</v>
      </c>
      <c r="H5">
        <v>4</v>
      </c>
      <c r="I5">
        <v>66</v>
      </c>
      <c r="J5">
        <v>21</v>
      </c>
      <c r="K5">
        <v>0</v>
      </c>
      <c r="L5">
        <v>8</v>
      </c>
      <c r="M5">
        <f t="shared" si="0"/>
        <v>176</v>
      </c>
      <c r="P5" t="s">
        <v>20</v>
      </c>
      <c r="Q5" s="3" t="s">
        <v>48</v>
      </c>
      <c r="S5" s="1" t="s">
        <v>46</v>
      </c>
      <c r="T5" s="4" t="s">
        <v>56</v>
      </c>
    </row>
    <row r="6" spans="4:20" ht="30" x14ac:dyDescent="0.25">
      <c r="E6">
        <f t="shared" ref="E6:L6" si="1">SUM(E4:E5)</f>
        <v>88</v>
      </c>
      <c r="F6">
        <f t="shared" si="1"/>
        <v>5</v>
      </c>
      <c r="G6">
        <f t="shared" si="1"/>
        <v>21</v>
      </c>
      <c r="H6">
        <f t="shared" si="1"/>
        <v>13</v>
      </c>
      <c r="I6">
        <f t="shared" si="1"/>
        <v>117</v>
      </c>
      <c r="J6">
        <f t="shared" si="1"/>
        <v>37</v>
      </c>
      <c r="K6">
        <f t="shared" si="1"/>
        <v>2</v>
      </c>
      <c r="L6">
        <f t="shared" si="1"/>
        <v>11</v>
      </c>
      <c r="M6">
        <f>SUM(M4:M5)</f>
        <v>294</v>
      </c>
      <c r="P6" t="s">
        <v>21</v>
      </c>
      <c r="Q6" s="3" t="s">
        <v>38</v>
      </c>
      <c r="S6" s="1" t="s">
        <v>19</v>
      </c>
      <c r="T6" s="4" t="s">
        <v>36</v>
      </c>
    </row>
    <row r="7" spans="4:20" ht="30" x14ac:dyDescent="0.25">
      <c r="P7" t="s">
        <v>22</v>
      </c>
      <c r="Q7" s="3" t="s">
        <v>47</v>
      </c>
      <c r="S7" s="1" t="s">
        <v>20</v>
      </c>
      <c r="T7" s="4" t="s">
        <v>48</v>
      </c>
    </row>
    <row r="8" spans="4:20" ht="30" x14ac:dyDescent="0.25">
      <c r="P8" t="s">
        <v>23</v>
      </c>
      <c r="Q8" s="3" t="s">
        <v>49</v>
      </c>
      <c r="S8" s="1" t="s">
        <v>21</v>
      </c>
      <c r="T8" s="4" t="s">
        <v>38</v>
      </c>
    </row>
    <row r="9" spans="4:20" ht="30" x14ac:dyDescent="0.25">
      <c r="D9" t="s">
        <v>12</v>
      </c>
      <c r="E9" t="s">
        <v>10</v>
      </c>
      <c r="F9" t="s">
        <v>11</v>
      </c>
      <c r="P9" t="s">
        <v>24</v>
      </c>
      <c r="Q9" s="3" t="s">
        <v>39</v>
      </c>
      <c r="S9" s="1" t="s">
        <v>22</v>
      </c>
      <c r="T9" s="4" t="s">
        <v>47</v>
      </c>
    </row>
    <row r="10" spans="4:20" ht="30" x14ac:dyDescent="0.25">
      <c r="D10" t="s">
        <v>7</v>
      </c>
      <c r="E10">
        <v>40</v>
      </c>
      <c r="F10">
        <v>78</v>
      </c>
      <c r="G10">
        <f>SUM(E10:F10)</f>
        <v>118</v>
      </c>
      <c r="P10" t="s">
        <v>25</v>
      </c>
      <c r="Q10" s="3" t="s">
        <v>40</v>
      </c>
      <c r="S10" s="1" t="s">
        <v>23</v>
      </c>
      <c r="T10" s="4" t="s">
        <v>49</v>
      </c>
    </row>
    <row r="11" spans="4:20" x14ac:dyDescent="0.25">
      <c r="D11" t="s">
        <v>8</v>
      </c>
      <c r="E11">
        <v>52</v>
      </c>
      <c r="F11">
        <v>124</v>
      </c>
      <c r="G11">
        <f>SUM(E11:F11)</f>
        <v>176</v>
      </c>
      <c r="P11" t="s">
        <v>26</v>
      </c>
      <c r="Q11" s="3" t="s">
        <v>37</v>
      </c>
      <c r="S11" s="1" t="s">
        <v>24</v>
      </c>
      <c r="T11" s="4" t="s">
        <v>39</v>
      </c>
    </row>
    <row r="12" spans="4:20" ht="30" x14ac:dyDescent="0.25">
      <c r="E12">
        <f>SUM(E10:E11)</f>
        <v>92</v>
      </c>
      <c r="F12">
        <f>SUM(F10:F11)</f>
        <v>202</v>
      </c>
      <c r="G12">
        <v>294</v>
      </c>
      <c r="P12" t="s">
        <v>27</v>
      </c>
      <c r="Q12" s="3" t="s">
        <v>50</v>
      </c>
      <c r="S12" s="1" t="s">
        <v>25</v>
      </c>
      <c r="T12" s="4" t="s">
        <v>40</v>
      </c>
    </row>
    <row r="13" spans="4:20" ht="30" x14ac:dyDescent="0.25">
      <c r="P13" t="s">
        <v>28</v>
      </c>
      <c r="Q13" s="3" t="s">
        <v>51</v>
      </c>
      <c r="S13" s="1" t="s">
        <v>26</v>
      </c>
      <c r="T13" s="4" t="s">
        <v>56</v>
      </c>
    </row>
    <row r="14" spans="4:20" ht="30" x14ac:dyDescent="0.25">
      <c r="E14" t="s">
        <v>14</v>
      </c>
      <c r="F14" t="s">
        <v>15</v>
      </c>
      <c r="P14" t="s">
        <v>29</v>
      </c>
      <c r="Q14" s="3" t="s">
        <v>41</v>
      </c>
      <c r="S14" s="1" t="s">
        <v>27</v>
      </c>
      <c r="T14" s="4" t="s">
        <v>50</v>
      </c>
    </row>
    <row r="15" spans="4:20" ht="30" x14ac:dyDescent="0.25">
      <c r="D15" t="s">
        <v>7</v>
      </c>
      <c r="E15">
        <v>84</v>
      </c>
      <c r="F15">
        <v>100</v>
      </c>
      <c r="G15">
        <f>SUM(E15:F15)</f>
        <v>184</v>
      </c>
      <c r="P15" t="s">
        <v>30</v>
      </c>
      <c r="Q15" s="3" t="s">
        <v>44</v>
      </c>
      <c r="S15" s="1" t="s">
        <v>28</v>
      </c>
      <c r="T15" s="4" t="s">
        <v>51</v>
      </c>
    </row>
    <row r="16" spans="4:20" ht="30" x14ac:dyDescent="0.25">
      <c r="D16" t="s">
        <v>8</v>
      </c>
      <c r="E16">
        <v>102</v>
      </c>
      <c r="F16">
        <v>164</v>
      </c>
      <c r="G16">
        <f>SUM(E16:F16)</f>
        <v>266</v>
      </c>
      <c r="P16" t="s">
        <v>31</v>
      </c>
      <c r="Q16" s="3" t="s">
        <v>42</v>
      </c>
      <c r="S16" s="1" t="s">
        <v>29</v>
      </c>
      <c r="T16" s="4" t="s">
        <v>41</v>
      </c>
    </row>
    <row r="17" spans="4:29" x14ac:dyDescent="0.25">
      <c r="E17">
        <f>SUM(E15:E16)</f>
        <v>186</v>
      </c>
      <c r="F17">
        <f>SUM(F15:F16)</f>
        <v>264</v>
      </c>
      <c r="G17">
        <v>450</v>
      </c>
      <c r="P17" t="s">
        <v>32</v>
      </c>
      <c r="Q17" s="3" t="s">
        <v>52</v>
      </c>
      <c r="S17" s="1" t="s">
        <v>30</v>
      </c>
      <c r="T17" s="4" t="s">
        <v>44</v>
      </c>
    </row>
    <row r="18" spans="4:29" ht="30" x14ac:dyDescent="0.25">
      <c r="P18" t="s">
        <v>33</v>
      </c>
      <c r="Q18" s="3" t="s">
        <v>53</v>
      </c>
      <c r="S18" s="1" t="s">
        <v>31</v>
      </c>
      <c r="T18" s="4" t="s">
        <v>42</v>
      </c>
    </row>
    <row r="19" spans="4:29" x14ac:dyDescent="0.25">
      <c r="E19" s="2" t="s">
        <v>16</v>
      </c>
      <c r="F19" s="2"/>
      <c r="G19" s="2"/>
      <c r="P19" t="s">
        <v>34</v>
      </c>
      <c r="Q19" s="3" t="s">
        <v>45</v>
      </c>
      <c r="S19" s="1" t="s">
        <v>32</v>
      </c>
      <c r="T19" s="4" t="s">
        <v>52</v>
      </c>
    </row>
    <row r="20" spans="4:29" ht="30" x14ac:dyDescent="0.25">
      <c r="E20" t="s">
        <v>10</v>
      </c>
      <c r="F20" t="s">
        <v>11</v>
      </c>
      <c r="P20" t="s">
        <v>35</v>
      </c>
      <c r="Q20" s="3" t="s">
        <v>43</v>
      </c>
      <c r="R20" t="s">
        <v>18</v>
      </c>
      <c r="S20" s="1" t="s">
        <v>33</v>
      </c>
      <c r="T20" s="4" t="s">
        <v>53</v>
      </c>
    </row>
    <row r="21" spans="4:29" x14ac:dyDescent="0.25">
      <c r="D21" t="s">
        <v>7</v>
      </c>
      <c r="E21">
        <v>64</v>
      </c>
      <c r="F21">
        <v>120</v>
      </c>
      <c r="G21">
        <f>SUM(E21:F21)</f>
        <v>184</v>
      </c>
      <c r="S21" s="1" t="s">
        <v>34</v>
      </c>
      <c r="T21" s="4" t="s">
        <v>45</v>
      </c>
    </row>
    <row r="22" spans="4:29" x14ac:dyDescent="0.25">
      <c r="D22" t="s">
        <v>8</v>
      </c>
      <c r="E22">
        <v>76</v>
      </c>
      <c r="F22">
        <v>190</v>
      </c>
      <c r="G22">
        <f>SUM(E22:F22)</f>
        <v>266</v>
      </c>
      <c r="S22" s="1" t="s">
        <v>35</v>
      </c>
      <c r="T22" s="4" t="s">
        <v>57</v>
      </c>
      <c r="V22" s="5" t="s">
        <v>54</v>
      </c>
      <c r="W22" s="5" t="s">
        <v>58</v>
      </c>
      <c r="X22" s="5" t="s">
        <v>59</v>
      </c>
      <c r="Y22" s="5" t="s">
        <v>60</v>
      </c>
      <c r="Z22" s="5" t="s">
        <v>61</v>
      </c>
      <c r="AA22" s="5" t="s">
        <v>62</v>
      </c>
      <c r="AB22" s="5" t="s">
        <v>63</v>
      </c>
      <c r="AC22" s="5" t="s">
        <v>64</v>
      </c>
    </row>
    <row r="23" spans="4:29" x14ac:dyDescent="0.25">
      <c r="E23">
        <f>SUM(E21:E22)</f>
        <v>140</v>
      </c>
      <c r="F23">
        <f>SUM(F21:F22)</f>
        <v>310</v>
      </c>
      <c r="G23">
        <f>SUM(G21:G22)</f>
        <v>450</v>
      </c>
      <c r="V23" s="5" t="s">
        <v>20</v>
      </c>
      <c r="W23" s="5">
        <v>1</v>
      </c>
      <c r="X23" s="5">
        <v>4</v>
      </c>
      <c r="Y23" s="5">
        <v>7</v>
      </c>
      <c r="Z23" s="5">
        <v>6.758</v>
      </c>
      <c r="AA23" s="5">
        <v>10</v>
      </c>
      <c r="AB23" s="5">
        <v>12</v>
      </c>
      <c r="AC23" s="5">
        <v>12</v>
      </c>
    </row>
    <row r="24" spans="4:29" x14ac:dyDescent="0.25">
      <c r="R24" t="s">
        <v>18</v>
      </c>
      <c r="V24" s="5" t="s">
        <v>23</v>
      </c>
      <c r="W24" s="5">
        <v>27</v>
      </c>
      <c r="X24" s="5">
        <v>65</v>
      </c>
      <c r="Y24" s="5">
        <v>72</v>
      </c>
      <c r="Z24" s="5">
        <v>70.37</v>
      </c>
      <c r="AA24" s="5">
        <v>78</v>
      </c>
      <c r="AB24" s="5">
        <v>96</v>
      </c>
      <c r="AC24" s="5">
        <v>73</v>
      </c>
    </row>
    <row r="25" spans="4:29" x14ac:dyDescent="0.25">
      <c r="E25" s="1" t="s">
        <v>46</v>
      </c>
      <c r="F25" s="1"/>
      <c r="V25" s="5" t="s">
        <v>27</v>
      </c>
      <c r="W25" s="5">
        <v>10</v>
      </c>
      <c r="X25" s="5">
        <v>24</v>
      </c>
      <c r="Y25" s="5">
        <v>40</v>
      </c>
      <c r="Z25" s="5">
        <v>53.35</v>
      </c>
      <c r="AA25" s="5">
        <v>70.5</v>
      </c>
      <c r="AB25" s="5">
        <v>220</v>
      </c>
      <c r="AC25" s="5">
        <v>20</v>
      </c>
    </row>
    <row r="26" spans="4:29" x14ac:dyDescent="0.25">
      <c r="E26" t="s">
        <v>10</v>
      </c>
      <c r="F26" t="s">
        <v>11</v>
      </c>
      <c r="V26" s="5" t="s">
        <v>31</v>
      </c>
      <c r="W26" s="5">
        <v>-0.03</v>
      </c>
      <c r="X26" s="5">
        <v>4.032</v>
      </c>
      <c r="Y26" s="5">
        <v>10.785</v>
      </c>
      <c r="Z26" s="5">
        <v>12.696999999999999</v>
      </c>
      <c r="AA26" s="5">
        <v>21.282</v>
      </c>
      <c r="AB26" s="5">
        <v>32.770000000000003</v>
      </c>
      <c r="AC26" s="5" t="s">
        <v>65</v>
      </c>
    </row>
    <row r="27" spans="4:29" x14ac:dyDescent="0.25">
      <c r="D27" t="s">
        <v>71</v>
      </c>
      <c r="E27">
        <v>39</v>
      </c>
      <c r="F27">
        <v>147</v>
      </c>
      <c r="G27">
        <f>SUM(E27:F27)</f>
        <v>186</v>
      </c>
      <c r="V27" s="5" t="s">
        <v>34</v>
      </c>
      <c r="W27" s="5">
        <v>0</v>
      </c>
      <c r="X27" s="5">
        <v>0</v>
      </c>
      <c r="Y27" s="5">
        <v>1</v>
      </c>
      <c r="Z27" s="5">
        <v>1.2250000000000001</v>
      </c>
      <c r="AA27" s="5">
        <v>2</v>
      </c>
      <c r="AB27" s="5">
        <v>4</v>
      </c>
      <c r="AC27" s="5">
        <v>1</v>
      </c>
    </row>
    <row r="28" spans="4:29" x14ac:dyDescent="0.25">
      <c r="D28" t="s">
        <v>72</v>
      </c>
      <c r="E28">
        <v>101</v>
      </c>
      <c r="F28">
        <v>163</v>
      </c>
      <c r="G28">
        <f>SUM(E28:F28)</f>
        <v>264</v>
      </c>
      <c r="V28" s="6"/>
    </row>
    <row r="29" spans="4:29" x14ac:dyDescent="0.25">
      <c r="E29">
        <f>SUM(E27:E28)</f>
        <v>140</v>
      </c>
      <c r="F29">
        <f>SUM(F27:F28)</f>
        <v>310</v>
      </c>
      <c r="G29">
        <f>SUM(G27:G28)</f>
        <v>450</v>
      </c>
      <c r="J29" t="s">
        <v>17</v>
      </c>
      <c r="V29" s="6"/>
    </row>
    <row r="32" spans="4:29" x14ac:dyDescent="0.25">
      <c r="V32" s="6"/>
    </row>
    <row r="33" spans="9:22" x14ac:dyDescent="0.25">
      <c r="V33" s="6"/>
    </row>
    <row r="34" spans="9:22" x14ac:dyDescent="0.25">
      <c r="V34" s="6"/>
    </row>
    <row r="36" spans="9:22" x14ac:dyDescent="0.25">
      <c r="I36">
        <f>SUM(Hoja2!L14+Hoja2!R14)</f>
        <v>450</v>
      </c>
      <c r="V36" s="6"/>
    </row>
    <row r="37" spans="9:22" x14ac:dyDescent="0.25">
      <c r="V37" s="6"/>
    </row>
    <row r="39" spans="9:22" x14ac:dyDescent="0.25">
      <c r="V39" s="6"/>
    </row>
  </sheetData>
  <mergeCells count="2">
    <mergeCell ref="E19:G19"/>
    <mergeCell ref="H1:L1"/>
  </mergeCells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D88B-A6F9-4285-BE9A-02BA5BA54251}">
  <dimension ref="B3:AB21"/>
  <sheetViews>
    <sheetView topLeftCell="L1" workbookViewId="0">
      <selection activeCell="U13" sqref="U13:U21"/>
    </sheetView>
  </sheetViews>
  <sheetFormatPr baseColWidth="10" defaultRowHeight="15" x14ac:dyDescent="0.25"/>
  <cols>
    <col min="2" max="2" width="18.42578125" bestFit="1" customWidth="1"/>
    <col min="3" max="3" width="13.140625" bestFit="1" customWidth="1"/>
    <col min="4" max="4" width="23.42578125" bestFit="1" customWidth="1"/>
    <col min="5" max="5" width="27.28515625" bestFit="1" customWidth="1"/>
    <col min="8" max="8" width="3" bestFit="1" customWidth="1"/>
    <col min="9" max="9" width="4.28515625" bestFit="1" customWidth="1"/>
    <col min="10" max="12" width="4.42578125" bestFit="1" customWidth="1"/>
    <col min="13" max="13" width="3.7109375" bestFit="1" customWidth="1"/>
    <col min="14" max="14" width="3" bestFit="1" customWidth="1"/>
    <col min="15" max="17" width="4.42578125" bestFit="1" customWidth="1"/>
    <col min="18" max="18" width="4.28515625" bestFit="1" customWidth="1"/>
    <col min="21" max="21" width="21.28515625" bestFit="1" customWidth="1"/>
    <col min="22" max="22" width="18.5703125" bestFit="1" customWidth="1"/>
    <col min="23" max="23" width="5.28515625" bestFit="1" customWidth="1"/>
    <col min="24" max="24" width="7.28515625" bestFit="1" customWidth="1"/>
    <col min="25" max="25" width="15.42578125" bestFit="1" customWidth="1"/>
    <col min="26" max="26" width="3.5703125" bestFit="1" customWidth="1"/>
    <col min="27" max="27" width="5" bestFit="1" customWidth="1"/>
    <col min="28" max="28" width="24.7109375" bestFit="1" customWidth="1"/>
  </cols>
  <sheetData>
    <row r="3" spans="2:28" ht="15.75" thickBot="1" x14ac:dyDescent="0.3">
      <c r="B3" s="10" t="s">
        <v>66</v>
      </c>
      <c r="C3" s="11" t="s">
        <v>67</v>
      </c>
      <c r="D3" s="11" t="s">
        <v>68</v>
      </c>
      <c r="E3" s="11" t="s">
        <v>69</v>
      </c>
    </row>
    <row r="4" spans="2:28" x14ac:dyDescent="0.25">
      <c r="B4" s="8" t="s">
        <v>20</v>
      </c>
      <c r="C4" s="1">
        <v>11.89</v>
      </c>
      <c r="D4" s="1">
        <v>3.45</v>
      </c>
      <c r="E4" s="1">
        <v>0.51</v>
      </c>
    </row>
    <row r="5" spans="2:28" x14ac:dyDescent="0.25">
      <c r="B5" s="8" t="s">
        <v>23</v>
      </c>
      <c r="C5" s="1">
        <v>111.78</v>
      </c>
      <c r="D5" s="1">
        <v>10.57</v>
      </c>
      <c r="E5" s="1">
        <v>0.15</v>
      </c>
    </row>
    <row r="6" spans="2:28" ht="15" customHeight="1" x14ac:dyDescent="0.25">
      <c r="B6" s="8" t="s">
        <v>27</v>
      </c>
      <c r="C6" s="1">
        <v>1622.74</v>
      </c>
      <c r="D6" s="1">
        <v>40.28</v>
      </c>
      <c r="E6" s="1">
        <v>0.75</v>
      </c>
    </row>
    <row r="7" spans="2:28" x14ac:dyDescent="0.25">
      <c r="B7" s="8" t="s">
        <v>31</v>
      </c>
      <c r="C7" s="1">
        <v>94.15</v>
      </c>
      <c r="D7" s="1">
        <v>9.6999999999999993</v>
      </c>
      <c r="E7" s="1">
        <v>0.76</v>
      </c>
    </row>
    <row r="8" spans="2:28" x14ac:dyDescent="0.25">
      <c r="B8" s="9" t="s">
        <v>34</v>
      </c>
      <c r="C8" s="1">
        <v>1.06</v>
      </c>
      <c r="D8" s="1">
        <v>1.03</v>
      </c>
      <c r="E8" s="1">
        <v>0.84</v>
      </c>
    </row>
    <row r="10" spans="2:28" x14ac:dyDescent="0.25">
      <c r="H10" s="14"/>
      <c r="I10" s="15" t="s">
        <v>7</v>
      </c>
      <c r="J10" s="15"/>
      <c r="K10" s="15"/>
      <c r="L10" s="15"/>
      <c r="M10" s="14"/>
      <c r="N10" s="14"/>
      <c r="O10" s="15" t="s">
        <v>8</v>
      </c>
      <c r="P10" s="15"/>
      <c r="Q10" s="15"/>
      <c r="R10" s="15"/>
      <c r="U10" s="29" t="s">
        <v>73</v>
      </c>
      <c r="V10" t="s">
        <v>74</v>
      </c>
      <c r="W10" t="s">
        <v>19</v>
      </c>
      <c r="X10" t="s">
        <v>20</v>
      </c>
      <c r="Y10" t="s">
        <v>75</v>
      </c>
      <c r="Z10" t="s">
        <v>34</v>
      </c>
      <c r="AA10" t="s">
        <v>27</v>
      </c>
      <c r="AB10" t="s">
        <v>76</v>
      </c>
    </row>
    <row r="11" spans="2:28" x14ac:dyDescent="0.25">
      <c r="H11" s="14"/>
      <c r="I11" s="14"/>
      <c r="J11" s="16" t="s">
        <v>14</v>
      </c>
      <c r="K11" s="17" t="s">
        <v>15</v>
      </c>
      <c r="L11" s="18" t="s">
        <v>70</v>
      </c>
      <c r="M11" s="14"/>
      <c r="N11" s="14"/>
      <c r="O11" s="14"/>
      <c r="P11" s="16" t="s">
        <v>14</v>
      </c>
      <c r="Q11" s="17" t="s">
        <v>15</v>
      </c>
      <c r="R11" s="18" t="s">
        <v>70</v>
      </c>
    </row>
    <row r="12" spans="2:28" x14ac:dyDescent="0.25">
      <c r="H12" s="12" t="s">
        <v>16</v>
      </c>
      <c r="I12" s="19" t="s">
        <v>10</v>
      </c>
      <c r="J12" s="20">
        <v>18</v>
      </c>
      <c r="K12" s="21">
        <v>46</v>
      </c>
      <c r="L12" s="22">
        <f>SUM(J12:K12)</f>
        <v>64</v>
      </c>
      <c r="M12" s="14"/>
      <c r="N12" s="12" t="s">
        <v>16</v>
      </c>
      <c r="O12" s="19" t="s">
        <v>10</v>
      </c>
      <c r="P12" s="20">
        <v>21</v>
      </c>
      <c r="Q12" s="21">
        <v>55</v>
      </c>
      <c r="R12" s="22">
        <f>SUM(P12:Q12)</f>
        <v>76</v>
      </c>
    </row>
    <row r="13" spans="2:28" x14ac:dyDescent="0.25">
      <c r="H13" s="12"/>
      <c r="I13" s="19" t="s">
        <v>11</v>
      </c>
      <c r="J13" s="23">
        <v>66</v>
      </c>
      <c r="K13" s="24">
        <v>54</v>
      </c>
      <c r="L13" s="25">
        <f>SUM(J13:K13)</f>
        <v>120</v>
      </c>
      <c r="M13" s="14"/>
      <c r="N13" s="12"/>
      <c r="O13" s="19" t="s">
        <v>11</v>
      </c>
      <c r="P13" s="23">
        <v>81</v>
      </c>
      <c r="Q13" s="24">
        <v>109</v>
      </c>
      <c r="R13" s="25">
        <f>SUM(P13:Q13)</f>
        <v>190</v>
      </c>
      <c r="U13" s="13" t="s">
        <v>77</v>
      </c>
    </row>
    <row r="14" spans="2:28" x14ac:dyDescent="0.25">
      <c r="H14" s="12"/>
      <c r="I14" s="26" t="s">
        <v>70</v>
      </c>
      <c r="J14" s="27">
        <f>SUM(J12:J13)</f>
        <v>84</v>
      </c>
      <c r="K14" s="28">
        <f>SUM(K12:K13)</f>
        <v>100</v>
      </c>
      <c r="L14" s="14">
        <v>184</v>
      </c>
      <c r="M14" s="14"/>
      <c r="N14" s="12"/>
      <c r="O14" s="26" t="s">
        <v>70</v>
      </c>
      <c r="P14" s="27">
        <f>SUM(P12:P13)</f>
        <v>102</v>
      </c>
      <c r="Q14" s="28">
        <f>SUM(Q12:Q13)</f>
        <v>164</v>
      </c>
      <c r="R14" s="14">
        <v>266</v>
      </c>
      <c r="U14" s="30" t="s">
        <v>73</v>
      </c>
    </row>
    <row r="15" spans="2:28" x14ac:dyDescent="0.25">
      <c r="U15" s="13" t="s">
        <v>74</v>
      </c>
    </row>
    <row r="16" spans="2:28" x14ac:dyDescent="0.25">
      <c r="U16" s="13" t="s">
        <v>19</v>
      </c>
    </row>
    <row r="17" spans="21:21" x14ac:dyDescent="0.25">
      <c r="U17" s="13" t="s">
        <v>20</v>
      </c>
    </row>
    <row r="18" spans="21:21" x14ac:dyDescent="0.25">
      <c r="U18" s="13" t="s">
        <v>75</v>
      </c>
    </row>
    <row r="19" spans="21:21" x14ac:dyDescent="0.25">
      <c r="U19" s="13" t="s">
        <v>34</v>
      </c>
    </row>
    <row r="20" spans="21:21" x14ac:dyDescent="0.25">
      <c r="U20" s="13" t="s">
        <v>27</v>
      </c>
    </row>
    <row r="21" spans="21:21" x14ac:dyDescent="0.25">
      <c r="U21" s="13" t="s">
        <v>76</v>
      </c>
    </row>
  </sheetData>
  <mergeCells count="4">
    <mergeCell ref="I10:L10"/>
    <mergeCell ref="O10:R10"/>
    <mergeCell ref="H12:H14"/>
    <mergeCell ref="N12:N1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Pantemico-Prepandemico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</dc:creator>
  <cp:lastModifiedBy>ALEN F. L. L</cp:lastModifiedBy>
  <dcterms:created xsi:type="dcterms:W3CDTF">2022-12-12T18:27:23Z</dcterms:created>
  <dcterms:modified xsi:type="dcterms:W3CDTF">2022-12-14T06:00:13Z</dcterms:modified>
</cp:coreProperties>
</file>